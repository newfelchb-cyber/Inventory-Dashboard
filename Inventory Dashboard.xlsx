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bchb\Desktop\"/>
    </mc:Choice>
  </mc:AlternateContent>
  <xr:revisionPtr revIDLastSave="0" documentId="13_ncr:1_{75FAF04F-BA37-4DEA-88A7-7701501F80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3" i="1"/>
  <c r="A4" i="1"/>
  <c r="A5" i="1"/>
  <c r="A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" i="1"/>
  <c r="J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<sst xmlns="http://schemas.openxmlformats.org/spreadsheetml/2006/main" count="160" uniqueCount="86">
  <si>
    <t>Product ID</t>
  </si>
  <si>
    <t>Product Name</t>
  </si>
  <si>
    <t>Category</t>
  </si>
  <si>
    <t>Supplier</t>
  </si>
  <si>
    <t>Stock Quantity</t>
  </si>
  <si>
    <t>Minimum Stock</t>
  </si>
  <si>
    <t>Unit Cost</t>
  </si>
  <si>
    <t>Total Value</t>
  </si>
  <si>
    <t>Last Restock Date</t>
  </si>
  <si>
    <t>Status</t>
  </si>
  <si>
    <t>Wireless Mouse</t>
  </si>
  <si>
    <t>Accessories</t>
  </si>
  <si>
    <t>TechCorp</t>
  </si>
  <si>
    <t>Mechanical Keyboard</t>
  </si>
  <si>
    <t>KeyMaster</t>
  </si>
  <si>
    <t>27-inch Monitor</t>
  </si>
  <si>
    <t>Hardware</t>
  </si>
  <si>
    <t>ViewSonic</t>
  </si>
  <si>
    <t>USB-C Cable 2m</t>
  </si>
  <si>
    <t>WireLink</t>
  </si>
  <si>
    <t>Laptop Stand</t>
  </si>
  <si>
    <t>Office</t>
  </si>
  <si>
    <t>Ergonomics</t>
  </si>
  <si>
    <t>External SSD 1TB</t>
  </si>
  <si>
    <t>Storage</t>
  </si>
  <si>
    <t>DataFlash</t>
  </si>
  <si>
    <t>Ergonomic Chair</t>
  </si>
  <si>
    <t>Furniture</t>
  </si>
  <si>
    <t>ComfortCo</t>
  </si>
  <si>
    <t>Webcam 1080p</t>
  </si>
  <si>
    <t>VisionCam</t>
  </si>
  <si>
    <t>Desk Lamp LED</t>
  </si>
  <si>
    <t>LightUp</t>
  </si>
  <si>
    <t>Bluetooth Speaker</t>
  </si>
  <si>
    <t>Electronics</t>
  </si>
  <si>
    <t>SoundWave</t>
  </si>
  <si>
    <t>Noise Cancelling Headphones</t>
  </si>
  <si>
    <t>AudioPro</t>
  </si>
  <si>
    <t>Laptop Sleeve 15"</t>
  </si>
  <si>
    <t>CaseStyle</t>
  </si>
  <si>
    <t>Wireless Charger</t>
  </si>
  <si>
    <t>PowerUp</t>
  </si>
  <si>
    <t>Drawing Tablet</t>
  </si>
  <si>
    <t>CreativeTools</t>
  </si>
  <si>
    <t>Power Bank 20000mAh</t>
  </si>
  <si>
    <t>HDMI Adapter</t>
  </si>
  <si>
    <t>Gaming Mouse Pad</t>
  </si>
  <si>
    <t>MicroSD 128GB</t>
  </si>
  <si>
    <t>Ethernet Cable 10m</t>
  </si>
  <si>
    <t>Networking</t>
  </si>
  <si>
    <t>Wi-Fi Router</t>
  </si>
  <si>
    <t>NetSpeed</t>
  </si>
  <si>
    <t>Laptop Cooling Pad</t>
  </si>
  <si>
    <t>Privacy Screen 24"</t>
  </si>
  <si>
    <t>ProtectView</t>
  </si>
  <si>
    <t>USB Hub 4-Port</t>
  </si>
  <si>
    <t>Digital Voice Recorder</t>
  </si>
  <si>
    <t>Desktop Microphone</t>
  </si>
  <si>
    <t>Hard Drive Case</t>
  </si>
  <si>
    <t>Smart Watch</t>
  </si>
  <si>
    <t>Graphic Card RTX 4060</t>
  </si>
  <si>
    <t>GamingGear</t>
  </si>
  <si>
    <t>CPU Cooler</t>
  </si>
  <si>
    <t>CoolingMaster</t>
  </si>
  <si>
    <t>Case Fans (3-pack)</t>
  </si>
  <si>
    <t>Keyboard Dust Cover</t>
  </si>
  <si>
    <t>Document Scanner</t>
  </si>
  <si>
    <t>OfficeTech</t>
  </si>
  <si>
    <t>Laser Printer</t>
  </si>
  <si>
    <t>Toner Cartridge</t>
  </si>
  <si>
    <t>Adjustable Monitor Arm</t>
  </si>
  <si>
    <t>Phone Tripod</t>
  </si>
  <si>
    <t>Portable Projector</t>
  </si>
  <si>
    <t>Gaming Chair</t>
  </si>
  <si>
    <t>Cable Management Kit</t>
  </si>
  <si>
    <t>Wireless Keyboard Set</t>
  </si>
  <si>
    <t>VR Headset</t>
  </si>
  <si>
    <t>USB Flash Drive 64GB</t>
  </si>
  <si>
    <t>Laptop Cooling Stand</t>
  </si>
  <si>
    <t>Mouse Bungee</t>
  </si>
  <si>
    <t>Screen Cleaning Kit</t>
  </si>
  <si>
    <t>Surge Protector</t>
  </si>
  <si>
    <t>Internal SSD 2TB</t>
  </si>
  <si>
    <t>Bluetooth Dongle</t>
  </si>
  <si>
    <t>Tablet Case</t>
  </si>
  <si>
    <t>Ring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</si>
</sst>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d/mm/yyyy"/>
  </numFmts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64" fontId="1" fillId="0" borderId="1" xfId="0" applyNumberFormat="1" applyFont="1" applyBorder="1" applyAlignment="1">
      <alignment horizontal="left" vertical="center" wrapText="1" indent="1"/>
    </xf>
    <xf numFmtId="164" fontId="0" fillId="0" borderId="0" xfId="0" applyNumberFormat="1"/>
    <xf numFmtId="165" fontId="1" fillId="0" borderId="1" xfId="0" applyNumberFormat="1" applyFont="1" applyBorder="1" applyAlignment="1">
      <alignment horizontal="left" vertical="center" wrapText="1" indent="1"/>
    </xf>
    <xf numFmtId="165" fontId="0" fillId="0" borderId="0" xfId="0" applyNumberFormat="1"/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164" fontId="2" fillId="0" borderId="5" xfId="0" applyNumberFormat="1" applyFont="1" applyBorder="1" applyAlignment="1">
      <alignment horizontal="left" vertical="center" wrapText="1" indent="1"/>
    </xf>
    <xf numFmtId="165" fontId="2" fillId="0" borderId="5" xfId="0" applyNumberFormat="1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164" fontId="1" fillId="0" borderId="7" xfId="0" applyNumberFormat="1" applyFont="1" applyBorder="1" applyAlignment="1">
      <alignment horizontal="left" vertical="center" wrapText="1" indent="1"/>
    </xf>
    <xf numFmtId="165" fontId="1" fillId="0" borderId="7" xfId="0" applyNumberFormat="1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5" formatCode="dd/mm/yyyy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4" formatCode="&quot;$&quot;#,##0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4" formatCode="&quot;$&quot;#,##0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0D0D5-BAD1-4D24-BC82-CBF6BFA60A6D}" name="Table1" displayName="Table1" ref="A1:J51" totalsRowShown="0" dataDxfId="12" headerRowBorderDxfId="13" tableBorderDxfId="11" totalsRowBorderDxfId="10">
  <autoFilter ref="A1:J51" xr:uid="{56F0D0D5-BAD1-4D24-BC82-CBF6BFA60A6D}"/>
  <tableColumns count="10">
    <tableColumn id="1" xr3:uid="{6C43F8F9-C93F-4D89-9D1A-66E66387C228}" name="Product ID" dataDxfId="9">
      <calculatedColumnFormula>"P-"&amp;TEXT(ROW()-1,"000")</calculatedColumnFormula>
    </tableColumn>
    <tableColumn id="2" xr3:uid="{239CD949-D954-4EC0-8544-AA1C4F23F4ED}" name="Product Name" dataDxfId="8"/>
    <tableColumn id="3" xr3:uid="{9C2ED4B7-43E7-4E79-9428-2E92750210D1}" name="Category" dataDxfId="7"/>
    <tableColumn id="4" xr3:uid="{D3F259B9-9929-482F-BAFA-C0824CFFF14A}" name="Supplier" dataDxfId="6"/>
    <tableColumn id="5" xr3:uid="{F0218D59-55D1-4F27-80C1-2BB7BEF8994C}" name="Stock Quantity" dataDxfId="5"/>
    <tableColumn id="6" xr3:uid="{6182AD9D-0FC7-482E-86E5-4D21B531F52E}" name="Minimum Stock" dataDxfId="4"/>
    <tableColumn id="7" xr3:uid="{3C7E3084-33F9-4027-A80A-D5EC916F2C68}" name="Unit Cost" dataDxfId="3"/>
    <tableColumn id="8" xr3:uid="{35790BDA-8C7D-4C4E-8118-2B0935BC3229}" name="Total Value" dataDxfId="2">
      <calculatedColumnFormula>E2*G2</calculatedColumnFormula>
    </tableColumn>
    <tableColumn id="9" xr3:uid="{228415B8-0374-4971-ADF2-F5F5D196AF7B}" name="Last Restock Date" dataDxfId="1"/>
    <tableColumn id="10" xr3:uid="{02959733-21E9-4474-B55A-D108AABD6EDA}" name="Status" dataDxfId="0">
      <calculatedColumnFormula>IF(E2=0,"Out of Stock",IF(E2&lt;=F2,"Low Stock","In Stock"))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tabSelected="1" topLeftCell="A41" zoomScale="95" zoomScaleNormal="95" workbookViewId="0">
      <selection activeCell="A51" sqref="A51"/>
    </sheetView>
  </sheetViews>
  <sheetFormatPr defaultColWidth="12.5703125" defaultRowHeight="15.75" customHeight="1" x14ac:dyDescent="0.2"/>
  <cols>
    <col min="1" max="1" width="26.140625" customWidth="1"/>
    <col min="2" max="2" width="34.7109375" customWidth="1"/>
    <col min="3" max="3" width="23.28515625" customWidth="1"/>
    <col min="4" max="4" width="24" customWidth="1"/>
    <col min="5" max="5" width="18.7109375" customWidth="1"/>
    <col min="6" max="6" width="19.5703125" customWidth="1"/>
    <col min="7" max="7" width="18.140625" style="3" customWidth="1"/>
    <col min="8" max="8" width="19.140625" style="3" customWidth="1"/>
    <col min="9" max="9" width="21.7109375" style="5" customWidth="1"/>
    <col min="10" max="10" width="24" customWidth="1"/>
  </cols>
  <sheetData>
    <row r="1" spans="1:10" ht="13.5" thickBo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1" t="s">
        <v>8</v>
      </c>
      <c r="J1" s="12" t="s">
        <v>9</v>
      </c>
    </row>
    <row r="2" spans="1:10" ht="13.5" thickBot="1" x14ac:dyDescent="0.25">
      <c r="A2" s="6" t="str">
        <f>"P-"&amp;TEXT(ROW()-1,"000")</f>
        <v>P-001</v>
      </c>
      <c r="B2" s="1" t="s">
        <v>10</v>
      </c>
      <c r="C2" s="1" t="s">
        <v>11</v>
      </c>
      <c r="D2" s="1" t="s">
        <v>12</v>
      </c>
      <c r="E2" s="1">
        <v>150</v>
      </c>
      <c r="F2" s="1">
        <v>20</v>
      </c>
      <c r="G2" s="2">
        <v>15</v>
      </c>
      <c r="H2" s="2">
        <f>E2*G2</f>
        <v>2250</v>
      </c>
      <c r="I2" s="4">
        <v>46157</v>
      </c>
      <c r="J2" s="7" t="str">
        <f>IF(E2=0,"Out of Stock",IF(E2&lt;=F2,"Low Stock","In Stock"))</f>
        <v>In Stock</v>
      </c>
    </row>
    <row r="3" spans="1:10" ht="13.5" thickBot="1" x14ac:dyDescent="0.25">
      <c r="A3" s="6" t="str">
        <f t="shared" ref="A3:A51" si="0">"P-"&amp;TEXT(ROW()-1,"000")</f>
        <v>P-002</v>
      </c>
      <c r="B3" s="1" t="s">
        <v>13</v>
      </c>
      <c r="C3" s="1" t="s">
        <v>11</v>
      </c>
      <c r="D3" s="1" t="s">
        <v>14</v>
      </c>
      <c r="E3" s="1">
        <v>45</v>
      </c>
      <c r="F3" s="1">
        <v>10</v>
      </c>
      <c r="G3" s="2">
        <v>85</v>
      </c>
      <c r="H3" s="2">
        <f t="shared" ref="H3:H51" si="1">E3*G3</f>
        <v>3825</v>
      </c>
      <c r="I3" s="4">
        <v>46174</v>
      </c>
      <c r="J3" s="7" t="str">
        <f t="shared" ref="J3:J51" si="2">IF(E3=0,"Out of Stock",IF(E3&lt;=F3,"Low Stock","In Stock"))</f>
        <v>In Stock</v>
      </c>
    </row>
    <row r="4" spans="1:10" ht="13.5" thickBot="1" x14ac:dyDescent="0.25">
      <c r="A4" s="6" t="str">
        <f t="shared" si="0"/>
        <v>P-003</v>
      </c>
      <c r="B4" s="1" t="s">
        <v>15</v>
      </c>
      <c r="C4" s="1" t="s">
        <v>16</v>
      </c>
      <c r="D4" s="1" t="s">
        <v>17</v>
      </c>
      <c r="E4" s="1">
        <v>12</v>
      </c>
      <c r="F4" s="1">
        <v>15</v>
      </c>
      <c r="G4" s="2">
        <v>250</v>
      </c>
      <c r="H4" s="2">
        <f t="shared" si="1"/>
        <v>3000</v>
      </c>
      <c r="I4" s="4">
        <v>46132</v>
      </c>
      <c r="J4" s="7" t="str">
        <f t="shared" si="2"/>
        <v>Low Stock</v>
      </c>
    </row>
    <row r="5" spans="1:10" ht="13.5" thickBot="1" x14ac:dyDescent="0.25">
      <c r="A5" s="6" t="str">
        <f t="shared" si="0"/>
        <v>P-004</v>
      </c>
      <c r="B5" s="1" t="s">
        <v>18</v>
      </c>
      <c r="C5" s="1" t="s">
        <v>11</v>
      </c>
      <c r="D5" s="1" t="s">
        <v>19</v>
      </c>
      <c r="E5" s="1">
        <v>300</v>
      </c>
      <c r="F5" s="1">
        <v>50</v>
      </c>
      <c r="G5" s="2">
        <v>5</v>
      </c>
      <c r="H5" s="2">
        <f t="shared" si="1"/>
        <v>1500</v>
      </c>
      <c r="I5" s="4">
        <v>46183</v>
      </c>
      <c r="J5" s="7" t="str">
        <f t="shared" si="2"/>
        <v>In Stock</v>
      </c>
    </row>
    <row r="6" spans="1:10" ht="15.75" customHeight="1" thickBot="1" x14ac:dyDescent="0.25">
      <c r="A6" s="6" t="str">
        <f t="shared" si="0"/>
        <v>P-005</v>
      </c>
      <c r="B6" s="1" t="s">
        <v>20</v>
      </c>
      <c r="C6" s="1" t="s">
        <v>21</v>
      </c>
      <c r="D6" s="1" t="s">
        <v>22</v>
      </c>
      <c r="E6" s="1">
        <v>8</v>
      </c>
      <c r="F6" s="1">
        <v>10</v>
      </c>
      <c r="G6" s="2">
        <v>35</v>
      </c>
      <c r="H6" s="2">
        <f t="shared" si="1"/>
        <v>280</v>
      </c>
      <c r="I6" s="4">
        <v>46093</v>
      </c>
      <c r="J6" s="7" t="str">
        <f t="shared" si="2"/>
        <v>Low Stock</v>
      </c>
    </row>
    <row r="7" spans="1:10" ht="15.75" customHeight="1" thickBot="1" x14ac:dyDescent="0.25">
      <c r="A7" s="6" t="str">
        <f t="shared" si="0"/>
        <v>P-006</v>
      </c>
      <c r="B7" s="1" t="s">
        <v>23</v>
      </c>
      <c r="C7" s="1" t="s">
        <v>24</v>
      </c>
      <c r="D7" s="1" t="s">
        <v>25</v>
      </c>
      <c r="E7" s="1">
        <v>0</v>
      </c>
      <c r="F7" s="1">
        <v>5</v>
      </c>
      <c r="G7" s="2">
        <v>110</v>
      </c>
      <c r="H7" s="2">
        <f t="shared" si="1"/>
        <v>0</v>
      </c>
      <c r="I7" s="4">
        <v>46081</v>
      </c>
      <c r="J7" s="7" t="str">
        <f t="shared" si="2"/>
        <v>Out of Stock</v>
      </c>
    </row>
    <row r="8" spans="1:10" ht="15.75" customHeight="1" thickBot="1" x14ac:dyDescent="0.25">
      <c r="A8" s="6" t="str">
        <f t="shared" si="0"/>
        <v>P-007</v>
      </c>
      <c r="B8" s="1" t="s">
        <v>26</v>
      </c>
      <c r="C8" s="1" t="s">
        <v>27</v>
      </c>
      <c r="D8" s="1" t="s">
        <v>28</v>
      </c>
      <c r="E8" s="1">
        <v>5</v>
      </c>
      <c r="F8" s="1">
        <v>5</v>
      </c>
      <c r="G8" s="2">
        <v>200</v>
      </c>
      <c r="H8" s="2">
        <f t="shared" si="1"/>
        <v>1000</v>
      </c>
      <c r="I8" s="4">
        <v>46037</v>
      </c>
      <c r="J8" s="7" t="str">
        <f t="shared" si="2"/>
        <v>Low Stock</v>
      </c>
    </row>
    <row r="9" spans="1:10" ht="15.75" customHeight="1" thickBot="1" x14ac:dyDescent="0.25">
      <c r="A9" s="6" t="str">
        <f t="shared" si="0"/>
        <v>P-008</v>
      </c>
      <c r="B9" s="1" t="s">
        <v>29</v>
      </c>
      <c r="C9" s="1" t="s">
        <v>16</v>
      </c>
      <c r="D9" s="1" t="s">
        <v>30</v>
      </c>
      <c r="E9" s="1">
        <v>85</v>
      </c>
      <c r="F9" s="1">
        <v>20</v>
      </c>
      <c r="G9" s="2">
        <v>60</v>
      </c>
      <c r="H9" s="2">
        <f t="shared" si="1"/>
        <v>5100</v>
      </c>
      <c r="I9" s="4">
        <v>46178</v>
      </c>
      <c r="J9" s="7" t="str">
        <f t="shared" si="2"/>
        <v>In Stock</v>
      </c>
    </row>
    <row r="10" spans="1:10" ht="15.75" customHeight="1" thickBot="1" x14ac:dyDescent="0.25">
      <c r="A10" s="6" t="str">
        <f t="shared" si="0"/>
        <v>P-009</v>
      </c>
      <c r="B10" s="1" t="s">
        <v>31</v>
      </c>
      <c r="C10" s="1" t="s">
        <v>21</v>
      </c>
      <c r="D10" s="1" t="s">
        <v>32</v>
      </c>
      <c r="E10" s="1">
        <v>120</v>
      </c>
      <c r="F10" s="1">
        <v>30</v>
      </c>
      <c r="G10" s="2">
        <v>25</v>
      </c>
      <c r="H10" s="2">
        <f t="shared" si="1"/>
        <v>3000</v>
      </c>
      <c r="I10" s="4">
        <v>46162</v>
      </c>
      <c r="J10" s="7" t="str">
        <f t="shared" si="2"/>
        <v>In Stock</v>
      </c>
    </row>
    <row r="11" spans="1:10" ht="15.75" customHeight="1" thickBot="1" x14ac:dyDescent="0.25">
      <c r="A11" s="6" t="str">
        <f t="shared" si="0"/>
        <v>P-010</v>
      </c>
      <c r="B11" s="1" t="s">
        <v>33</v>
      </c>
      <c r="C11" s="1" t="s">
        <v>34</v>
      </c>
      <c r="D11" s="1" t="s">
        <v>35</v>
      </c>
      <c r="E11" s="1">
        <v>0</v>
      </c>
      <c r="F11" s="1">
        <v>10</v>
      </c>
      <c r="G11" s="2">
        <v>45</v>
      </c>
      <c r="H11" s="2">
        <f t="shared" si="1"/>
        <v>0</v>
      </c>
      <c r="I11" s="4">
        <v>46122</v>
      </c>
      <c r="J11" s="7" t="str">
        <f t="shared" si="2"/>
        <v>Out of Stock</v>
      </c>
    </row>
    <row r="12" spans="1:10" ht="15.75" customHeight="1" thickBot="1" x14ac:dyDescent="0.25">
      <c r="A12" s="6" t="str">
        <f t="shared" si="0"/>
        <v>P-011</v>
      </c>
      <c r="B12" s="1" t="s">
        <v>36</v>
      </c>
      <c r="C12" s="1" t="s">
        <v>34</v>
      </c>
      <c r="D12" s="1" t="s">
        <v>37</v>
      </c>
      <c r="E12" s="1">
        <v>25</v>
      </c>
      <c r="F12" s="1">
        <v>10</v>
      </c>
      <c r="G12" s="2">
        <v>150</v>
      </c>
      <c r="H12" s="2">
        <f t="shared" si="1"/>
        <v>3750</v>
      </c>
      <c r="I12" s="4">
        <v>46185</v>
      </c>
      <c r="J12" s="7" t="str">
        <f t="shared" si="2"/>
        <v>In Stock</v>
      </c>
    </row>
    <row r="13" spans="1:10" ht="15.75" customHeight="1" thickBot="1" x14ac:dyDescent="0.25">
      <c r="A13" s="6" t="str">
        <f t="shared" si="0"/>
        <v>P-012</v>
      </c>
      <c r="B13" s="1" t="s">
        <v>38</v>
      </c>
      <c r="C13" s="1" t="s">
        <v>11</v>
      </c>
      <c r="D13" s="1" t="s">
        <v>39</v>
      </c>
      <c r="E13" s="1">
        <v>200</v>
      </c>
      <c r="F13" s="1">
        <v>40</v>
      </c>
      <c r="G13" s="2">
        <v>12</v>
      </c>
      <c r="H13" s="2">
        <f t="shared" si="1"/>
        <v>2400</v>
      </c>
      <c r="I13" s="4">
        <v>46172</v>
      </c>
      <c r="J13" s="7" t="str">
        <f t="shared" si="2"/>
        <v>In Stock</v>
      </c>
    </row>
    <row r="14" spans="1:10" ht="15.75" customHeight="1" thickBot="1" x14ac:dyDescent="0.25">
      <c r="A14" s="6" t="str">
        <f t="shared" si="0"/>
        <v>P-013</v>
      </c>
      <c r="B14" s="1" t="s">
        <v>40</v>
      </c>
      <c r="C14" s="1" t="s">
        <v>11</v>
      </c>
      <c r="D14" s="1" t="s">
        <v>41</v>
      </c>
      <c r="E14" s="1">
        <v>65</v>
      </c>
      <c r="F14" s="1">
        <v>25</v>
      </c>
      <c r="G14" s="2">
        <v>20</v>
      </c>
      <c r="H14" s="2">
        <f t="shared" si="1"/>
        <v>1300</v>
      </c>
      <c r="I14" s="4">
        <v>46181</v>
      </c>
      <c r="J14" s="7" t="str">
        <f t="shared" si="2"/>
        <v>In Stock</v>
      </c>
    </row>
    <row r="15" spans="1:10" ht="15.75" customHeight="1" thickBot="1" x14ac:dyDescent="0.25">
      <c r="A15" s="6" t="str">
        <f t="shared" si="0"/>
        <v>P-014</v>
      </c>
      <c r="B15" s="1" t="s">
        <v>42</v>
      </c>
      <c r="C15" s="1" t="s">
        <v>16</v>
      </c>
      <c r="D15" s="1" t="s">
        <v>43</v>
      </c>
      <c r="E15" s="1">
        <v>15</v>
      </c>
      <c r="F15" s="1">
        <v>5</v>
      </c>
      <c r="G15" s="2">
        <v>350</v>
      </c>
      <c r="H15" s="2">
        <f t="shared" si="1"/>
        <v>5250</v>
      </c>
      <c r="I15" s="4">
        <v>46106</v>
      </c>
      <c r="J15" s="7" t="str">
        <f t="shared" si="2"/>
        <v>In Stock</v>
      </c>
    </row>
    <row r="16" spans="1:10" ht="15.75" customHeight="1" thickBot="1" x14ac:dyDescent="0.25">
      <c r="A16" s="6" t="str">
        <f t="shared" si="0"/>
        <v>P-015</v>
      </c>
      <c r="B16" s="1" t="s">
        <v>44</v>
      </c>
      <c r="C16" s="1" t="s">
        <v>34</v>
      </c>
      <c r="D16" s="1" t="s">
        <v>41</v>
      </c>
      <c r="E16" s="1">
        <v>40</v>
      </c>
      <c r="F16" s="1">
        <v>20</v>
      </c>
      <c r="G16" s="2">
        <v>40</v>
      </c>
      <c r="H16" s="2">
        <f t="shared" si="1"/>
        <v>1600</v>
      </c>
      <c r="I16" s="4">
        <v>46188</v>
      </c>
      <c r="J16" s="7" t="str">
        <f t="shared" si="2"/>
        <v>In Stock</v>
      </c>
    </row>
    <row r="17" spans="1:10" ht="15.75" customHeight="1" thickBot="1" x14ac:dyDescent="0.25">
      <c r="A17" s="6" t="str">
        <f t="shared" si="0"/>
        <v>P-016</v>
      </c>
      <c r="B17" s="1" t="s">
        <v>45</v>
      </c>
      <c r="C17" s="1" t="s">
        <v>11</v>
      </c>
      <c r="D17" s="1" t="s">
        <v>19</v>
      </c>
      <c r="E17" s="1">
        <v>500</v>
      </c>
      <c r="F17" s="1">
        <v>100</v>
      </c>
      <c r="G17" s="2">
        <v>8</v>
      </c>
      <c r="H17" s="2">
        <f t="shared" si="1"/>
        <v>4000</v>
      </c>
      <c r="I17" s="4">
        <v>46191</v>
      </c>
      <c r="J17" s="7" t="str">
        <f t="shared" si="2"/>
        <v>In Stock</v>
      </c>
    </row>
    <row r="18" spans="1:10" ht="15.75" customHeight="1" thickBot="1" x14ac:dyDescent="0.25">
      <c r="A18" s="6" t="str">
        <f t="shared" si="0"/>
        <v>P-017</v>
      </c>
      <c r="B18" s="1" t="s">
        <v>46</v>
      </c>
      <c r="C18" s="1" t="s">
        <v>11</v>
      </c>
      <c r="D18" s="1" t="s">
        <v>14</v>
      </c>
      <c r="E18" s="1">
        <v>110</v>
      </c>
      <c r="F18" s="1">
        <v>30</v>
      </c>
      <c r="G18" s="2">
        <v>10</v>
      </c>
      <c r="H18" s="2">
        <f t="shared" si="1"/>
        <v>1100</v>
      </c>
      <c r="I18" s="4">
        <v>46167</v>
      </c>
      <c r="J18" s="7" t="str">
        <f t="shared" si="2"/>
        <v>In Stock</v>
      </c>
    </row>
    <row r="19" spans="1:10" ht="15.75" customHeight="1" thickBot="1" x14ac:dyDescent="0.25">
      <c r="A19" s="6" t="str">
        <f t="shared" si="0"/>
        <v>P-018</v>
      </c>
      <c r="B19" s="1" t="s">
        <v>47</v>
      </c>
      <c r="C19" s="1" t="s">
        <v>24</v>
      </c>
      <c r="D19" s="1" t="s">
        <v>25</v>
      </c>
      <c r="E19" s="1">
        <v>90</v>
      </c>
      <c r="F19" s="1">
        <v>40</v>
      </c>
      <c r="G19" s="2">
        <v>18</v>
      </c>
      <c r="H19" s="2">
        <f t="shared" si="1"/>
        <v>1620</v>
      </c>
      <c r="I19" s="4">
        <v>46193</v>
      </c>
      <c r="J19" s="7" t="str">
        <f t="shared" si="2"/>
        <v>In Stock</v>
      </c>
    </row>
    <row r="20" spans="1:10" ht="15.75" customHeight="1" thickBot="1" x14ac:dyDescent="0.25">
      <c r="A20" s="6" t="str">
        <f t="shared" si="0"/>
        <v>P-019</v>
      </c>
      <c r="B20" s="1" t="s">
        <v>48</v>
      </c>
      <c r="C20" s="1" t="s">
        <v>49</v>
      </c>
      <c r="D20" s="1" t="s">
        <v>19</v>
      </c>
      <c r="E20" s="1">
        <v>75</v>
      </c>
      <c r="F20" s="1">
        <v>20</v>
      </c>
      <c r="G20" s="2">
        <v>15</v>
      </c>
      <c r="H20" s="2">
        <f t="shared" si="1"/>
        <v>1125</v>
      </c>
      <c r="I20" s="4">
        <v>46152</v>
      </c>
      <c r="J20" s="7" t="str">
        <f t="shared" si="2"/>
        <v>In Stock</v>
      </c>
    </row>
    <row r="21" spans="1:10" ht="15.75" customHeight="1" thickBot="1" x14ac:dyDescent="0.25">
      <c r="A21" s="6" t="str">
        <f t="shared" si="0"/>
        <v>P-020</v>
      </c>
      <c r="B21" s="1" t="s">
        <v>50</v>
      </c>
      <c r="C21" s="1" t="s">
        <v>49</v>
      </c>
      <c r="D21" s="1" t="s">
        <v>51</v>
      </c>
      <c r="E21" s="1">
        <v>30</v>
      </c>
      <c r="F21" s="1">
        <v>10</v>
      </c>
      <c r="G21" s="2">
        <v>95</v>
      </c>
      <c r="H21" s="2">
        <f t="shared" si="1"/>
        <v>2850</v>
      </c>
      <c r="I21" s="4">
        <v>46142</v>
      </c>
      <c r="J21" s="7" t="str">
        <f t="shared" si="2"/>
        <v>In Stock</v>
      </c>
    </row>
    <row r="22" spans="1:10" ht="15.75" customHeight="1" thickBot="1" x14ac:dyDescent="0.25">
      <c r="A22" s="6" t="str">
        <f t="shared" si="0"/>
        <v>P-021</v>
      </c>
      <c r="B22" s="1" t="s">
        <v>52</v>
      </c>
      <c r="C22" s="1" t="s">
        <v>11</v>
      </c>
      <c r="D22" s="1" t="s">
        <v>12</v>
      </c>
      <c r="E22" s="1">
        <v>40</v>
      </c>
      <c r="F22" s="1">
        <v>15</v>
      </c>
      <c r="G22" s="2">
        <v>22</v>
      </c>
      <c r="H22" s="2">
        <f t="shared" si="1"/>
        <v>880</v>
      </c>
      <c r="I22" s="4">
        <v>46175</v>
      </c>
      <c r="J22" s="7" t="str">
        <f t="shared" si="2"/>
        <v>In Stock</v>
      </c>
    </row>
    <row r="23" spans="1:10" ht="15.75" customHeight="1" thickBot="1" x14ac:dyDescent="0.25">
      <c r="A23" s="6" t="str">
        <f t="shared" si="0"/>
        <v>P-022</v>
      </c>
      <c r="B23" s="1" t="s">
        <v>53</v>
      </c>
      <c r="C23" s="1" t="s">
        <v>16</v>
      </c>
      <c r="D23" s="1" t="s">
        <v>54</v>
      </c>
      <c r="E23" s="1">
        <v>5</v>
      </c>
      <c r="F23" s="1">
        <v>10</v>
      </c>
      <c r="G23" s="2">
        <v>45</v>
      </c>
      <c r="H23" s="2">
        <f t="shared" si="1"/>
        <v>225</v>
      </c>
      <c r="I23" s="4">
        <v>46068</v>
      </c>
      <c r="J23" s="7" t="str">
        <f t="shared" si="2"/>
        <v>Low Stock</v>
      </c>
    </row>
    <row r="24" spans="1:10" ht="15.75" customHeight="1" thickBot="1" x14ac:dyDescent="0.25">
      <c r="A24" s="6" t="str">
        <f t="shared" si="0"/>
        <v>P-023</v>
      </c>
      <c r="B24" s="1" t="s">
        <v>55</v>
      </c>
      <c r="C24" s="1" t="s">
        <v>11</v>
      </c>
      <c r="D24" s="1" t="s">
        <v>19</v>
      </c>
      <c r="E24" s="1">
        <v>130</v>
      </c>
      <c r="F24" s="1">
        <v>30</v>
      </c>
      <c r="G24" s="2">
        <v>14</v>
      </c>
      <c r="H24" s="2">
        <f t="shared" si="1"/>
        <v>1820</v>
      </c>
      <c r="I24" s="4">
        <v>46178</v>
      </c>
      <c r="J24" s="7" t="str">
        <f t="shared" si="2"/>
        <v>In Stock</v>
      </c>
    </row>
    <row r="25" spans="1:10" ht="15.75" customHeight="1" thickBot="1" x14ac:dyDescent="0.25">
      <c r="A25" s="6" t="str">
        <f t="shared" si="0"/>
        <v>P-024</v>
      </c>
      <c r="B25" s="1" t="s">
        <v>56</v>
      </c>
      <c r="C25" s="1" t="s">
        <v>34</v>
      </c>
      <c r="D25" s="1" t="s">
        <v>37</v>
      </c>
      <c r="E25" s="1">
        <v>10</v>
      </c>
      <c r="F25" s="1">
        <v>5</v>
      </c>
      <c r="G25" s="2">
        <v>70</v>
      </c>
      <c r="H25" s="2">
        <f t="shared" si="1"/>
        <v>700</v>
      </c>
      <c r="I25" s="4">
        <v>46091</v>
      </c>
      <c r="J25" s="7" t="str">
        <f t="shared" si="2"/>
        <v>In Stock</v>
      </c>
    </row>
    <row r="26" spans="1:10" ht="15.75" customHeight="1" thickBot="1" x14ac:dyDescent="0.25">
      <c r="A26" s="6" t="str">
        <f t="shared" si="0"/>
        <v>P-025</v>
      </c>
      <c r="B26" s="1" t="s">
        <v>57</v>
      </c>
      <c r="C26" s="1" t="s">
        <v>16</v>
      </c>
      <c r="D26" s="1" t="s">
        <v>37</v>
      </c>
      <c r="E26" s="1">
        <v>22</v>
      </c>
      <c r="F26" s="1">
        <v>10</v>
      </c>
      <c r="G26" s="2">
        <v>120</v>
      </c>
      <c r="H26" s="2">
        <f t="shared" si="1"/>
        <v>2640</v>
      </c>
      <c r="I26" s="4">
        <v>46184</v>
      </c>
      <c r="J26" s="7" t="str">
        <f t="shared" si="2"/>
        <v>In Stock</v>
      </c>
    </row>
    <row r="27" spans="1:10" ht="15.75" customHeight="1" thickBot="1" x14ac:dyDescent="0.25">
      <c r="A27" s="6" t="str">
        <f t="shared" si="0"/>
        <v>P-026</v>
      </c>
      <c r="B27" s="1" t="s">
        <v>58</v>
      </c>
      <c r="C27" s="1" t="s">
        <v>24</v>
      </c>
      <c r="D27" s="1" t="s">
        <v>39</v>
      </c>
      <c r="E27" s="1">
        <v>80</v>
      </c>
      <c r="F27" s="1">
        <v>20</v>
      </c>
      <c r="G27" s="2">
        <v>9</v>
      </c>
      <c r="H27" s="2">
        <f t="shared" si="1"/>
        <v>720</v>
      </c>
      <c r="I27" s="4">
        <v>46160</v>
      </c>
      <c r="J27" s="7" t="str">
        <f t="shared" si="2"/>
        <v>In Stock</v>
      </c>
    </row>
    <row r="28" spans="1:10" ht="15.75" customHeight="1" thickBot="1" x14ac:dyDescent="0.25">
      <c r="A28" s="6" t="str">
        <f t="shared" si="0"/>
        <v>P-027</v>
      </c>
      <c r="B28" s="1" t="s">
        <v>59</v>
      </c>
      <c r="C28" s="1" t="s">
        <v>34</v>
      </c>
      <c r="D28" s="1" t="s">
        <v>12</v>
      </c>
      <c r="E28" s="1">
        <v>20</v>
      </c>
      <c r="F28" s="1">
        <v>10</v>
      </c>
      <c r="G28" s="2">
        <v>220</v>
      </c>
      <c r="H28" s="2">
        <f t="shared" si="1"/>
        <v>4400</v>
      </c>
      <c r="I28" s="4">
        <v>46187</v>
      </c>
      <c r="J28" s="7" t="str">
        <f t="shared" si="2"/>
        <v>In Stock</v>
      </c>
    </row>
    <row r="29" spans="1:10" ht="15.75" customHeight="1" thickBot="1" x14ac:dyDescent="0.25">
      <c r="A29" s="6" t="str">
        <f t="shared" si="0"/>
        <v>P-028</v>
      </c>
      <c r="B29" s="1" t="s">
        <v>60</v>
      </c>
      <c r="C29" s="1" t="s">
        <v>16</v>
      </c>
      <c r="D29" s="1" t="s">
        <v>61</v>
      </c>
      <c r="E29" s="1">
        <v>3</v>
      </c>
      <c r="F29" s="1">
        <v>5</v>
      </c>
      <c r="G29" s="2">
        <v>380</v>
      </c>
      <c r="H29" s="2">
        <f t="shared" si="1"/>
        <v>1140</v>
      </c>
      <c r="I29" s="4">
        <v>46117</v>
      </c>
      <c r="J29" s="7" t="str">
        <f t="shared" si="2"/>
        <v>Low Stock</v>
      </c>
    </row>
    <row r="30" spans="1:10" ht="15.75" customHeight="1" thickBot="1" x14ac:dyDescent="0.25">
      <c r="A30" s="6" t="str">
        <f t="shared" si="0"/>
        <v>P-029</v>
      </c>
      <c r="B30" s="1" t="s">
        <v>62</v>
      </c>
      <c r="C30" s="1" t="s">
        <v>16</v>
      </c>
      <c r="D30" s="1" t="s">
        <v>63</v>
      </c>
      <c r="E30" s="1">
        <v>18</v>
      </c>
      <c r="F30" s="1">
        <v>10</v>
      </c>
      <c r="G30" s="2">
        <v>45</v>
      </c>
      <c r="H30" s="2">
        <f t="shared" si="1"/>
        <v>810</v>
      </c>
      <c r="I30" s="4">
        <v>46180</v>
      </c>
      <c r="J30" s="7" t="str">
        <f t="shared" si="2"/>
        <v>In Stock</v>
      </c>
    </row>
    <row r="31" spans="1:10" ht="15.75" customHeight="1" thickBot="1" x14ac:dyDescent="0.25">
      <c r="A31" s="6" t="str">
        <f t="shared" si="0"/>
        <v>P-030</v>
      </c>
      <c r="B31" s="1" t="s">
        <v>64</v>
      </c>
      <c r="C31" s="1" t="s">
        <v>16</v>
      </c>
      <c r="D31" s="1" t="s">
        <v>63</v>
      </c>
      <c r="E31" s="1">
        <v>45</v>
      </c>
      <c r="F31" s="1">
        <v>15</v>
      </c>
      <c r="G31" s="2">
        <v>30</v>
      </c>
      <c r="H31" s="2">
        <f t="shared" si="1"/>
        <v>1350</v>
      </c>
      <c r="I31" s="4">
        <v>46170</v>
      </c>
      <c r="J31" s="7" t="str">
        <f t="shared" si="2"/>
        <v>In Stock</v>
      </c>
    </row>
    <row r="32" spans="1:10" ht="15.75" customHeight="1" thickBot="1" x14ac:dyDescent="0.25">
      <c r="A32" s="6" t="str">
        <f t="shared" si="0"/>
        <v>P-031</v>
      </c>
      <c r="B32" s="1" t="s">
        <v>65</v>
      </c>
      <c r="C32" s="1" t="s">
        <v>11</v>
      </c>
      <c r="D32" s="1" t="s">
        <v>39</v>
      </c>
      <c r="E32" s="1">
        <v>150</v>
      </c>
      <c r="F32" s="1">
        <v>50</v>
      </c>
      <c r="G32" s="2">
        <v>5</v>
      </c>
      <c r="H32" s="2">
        <f t="shared" si="1"/>
        <v>750</v>
      </c>
      <c r="I32" s="4">
        <v>46188</v>
      </c>
      <c r="J32" s="7" t="str">
        <f t="shared" si="2"/>
        <v>In Stock</v>
      </c>
    </row>
    <row r="33" spans="1:10" ht="15.75" customHeight="1" thickBot="1" x14ac:dyDescent="0.25">
      <c r="A33" s="6" t="str">
        <f t="shared" si="0"/>
        <v>P-032</v>
      </c>
      <c r="B33" s="1" t="s">
        <v>66</v>
      </c>
      <c r="C33" s="1" t="s">
        <v>21</v>
      </c>
      <c r="D33" s="1" t="s">
        <v>67</v>
      </c>
      <c r="E33" s="1">
        <v>4</v>
      </c>
      <c r="F33" s="1">
        <v>5</v>
      </c>
      <c r="G33" s="2">
        <v>280</v>
      </c>
      <c r="H33" s="2">
        <f t="shared" si="1"/>
        <v>1120</v>
      </c>
      <c r="I33" s="4">
        <v>46073</v>
      </c>
      <c r="J33" s="7" t="str">
        <f t="shared" si="2"/>
        <v>Low Stock</v>
      </c>
    </row>
    <row r="34" spans="1:10" ht="15.75" customHeight="1" thickBot="1" x14ac:dyDescent="0.25">
      <c r="A34" s="6" t="str">
        <f t="shared" si="0"/>
        <v>P-033</v>
      </c>
      <c r="B34" s="1" t="s">
        <v>68</v>
      </c>
      <c r="C34" s="1" t="s">
        <v>21</v>
      </c>
      <c r="D34" s="1" t="s">
        <v>67</v>
      </c>
      <c r="E34" s="1">
        <v>2</v>
      </c>
      <c r="F34" s="1">
        <v>3</v>
      </c>
      <c r="G34" s="2">
        <v>190</v>
      </c>
      <c r="H34" s="2">
        <f t="shared" si="1"/>
        <v>380</v>
      </c>
      <c r="I34" s="4">
        <v>46032</v>
      </c>
      <c r="J34" s="7" t="str">
        <f t="shared" si="2"/>
        <v>Low Stock</v>
      </c>
    </row>
    <row r="35" spans="1:10" ht="15.75" customHeight="1" thickBot="1" x14ac:dyDescent="0.25">
      <c r="A35" s="6" t="str">
        <f t="shared" si="0"/>
        <v>P-034</v>
      </c>
      <c r="B35" s="1" t="s">
        <v>69</v>
      </c>
      <c r="C35" s="1" t="s">
        <v>21</v>
      </c>
      <c r="D35" s="1" t="s">
        <v>67</v>
      </c>
      <c r="E35" s="1">
        <v>0</v>
      </c>
      <c r="F35" s="1">
        <v>20</v>
      </c>
      <c r="G35" s="2">
        <v>45</v>
      </c>
      <c r="H35" s="2">
        <f t="shared" si="1"/>
        <v>0</v>
      </c>
      <c r="I35" s="4">
        <v>46127</v>
      </c>
      <c r="J35" s="7" t="str">
        <f t="shared" si="2"/>
        <v>Out of Stock</v>
      </c>
    </row>
    <row r="36" spans="1:10" ht="15.75" customHeight="1" thickBot="1" x14ac:dyDescent="0.25">
      <c r="A36" s="6" t="str">
        <f t="shared" si="0"/>
        <v>P-035</v>
      </c>
      <c r="B36" s="1" t="s">
        <v>70</v>
      </c>
      <c r="C36" s="1" t="s">
        <v>27</v>
      </c>
      <c r="D36" s="1" t="s">
        <v>22</v>
      </c>
      <c r="E36" s="1">
        <v>12</v>
      </c>
      <c r="F36" s="1">
        <v>5</v>
      </c>
      <c r="G36" s="2">
        <v>65</v>
      </c>
      <c r="H36" s="2">
        <f t="shared" si="1"/>
        <v>780</v>
      </c>
      <c r="I36" s="4">
        <v>46147</v>
      </c>
      <c r="J36" s="7" t="str">
        <f t="shared" si="2"/>
        <v>In Stock</v>
      </c>
    </row>
    <row r="37" spans="1:10" ht="15.75" customHeight="1" thickBot="1" x14ac:dyDescent="0.25">
      <c r="A37" s="6" t="str">
        <f t="shared" si="0"/>
        <v>P-036</v>
      </c>
      <c r="B37" s="1" t="s">
        <v>71</v>
      </c>
      <c r="C37" s="1" t="s">
        <v>11</v>
      </c>
      <c r="D37" s="1" t="s">
        <v>30</v>
      </c>
      <c r="E37" s="1">
        <v>60</v>
      </c>
      <c r="F37" s="1">
        <v>20</v>
      </c>
      <c r="G37" s="2">
        <v>15</v>
      </c>
      <c r="H37" s="2">
        <f t="shared" si="1"/>
        <v>900</v>
      </c>
      <c r="I37" s="4">
        <v>46183</v>
      </c>
      <c r="J37" s="7" t="str">
        <f t="shared" si="2"/>
        <v>In Stock</v>
      </c>
    </row>
    <row r="38" spans="1:10" ht="15.75" customHeight="1" thickBot="1" x14ac:dyDescent="0.25">
      <c r="A38" s="6" t="str">
        <f t="shared" si="0"/>
        <v>P-037</v>
      </c>
      <c r="B38" s="1" t="s">
        <v>72</v>
      </c>
      <c r="C38" s="1" t="s">
        <v>34</v>
      </c>
      <c r="D38" s="1" t="s">
        <v>17</v>
      </c>
      <c r="E38" s="1">
        <v>6</v>
      </c>
      <c r="F38" s="1">
        <v>5</v>
      </c>
      <c r="G38" s="2">
        <v>450</v>
      </c>
      <c r="H38" s="2">
        <f t="shared" si="1"/>
        <v>2700</v>
      </c>
      <c r="I38" s="4">
        <v>46111</v>
      </c>
      <c r="J38" s="7" t="str">
        <f t="shared" si="2"/>
        <v>In Stock</v>
      </c>
    </row>
    <row r="39" spans="1:10" ht="15.75" customHeight="1" thickBot="1" x14ac:dyDescent="0.25">
      <c r="A39" s="6" t="str">
        <f t="shared" si="0"/>
        <v>P-038</v>
      </c>
      <c r="B39" s="1" t="s">
        <v>73</v>
      </c>
      <c r="C39" s="1" t="s">
        <v>27</v>
      </c>
      <c r="D39" s="1" t="s">
        <v>28</v>
      </c>
      <c r="E39" s="1">
        <v>8</v>
      </c>
      <c r="F39" s="1">
        <v>5</v>
      </c>
      <c r="G39" s="2">
        <v>250</v>
      </c>
      <c r="H39" s="2">
        <f t="shared" si="1"/>
        <v>2000</v>
      </c>
      <c r="I39" s="4">
        <v>46162</v>
      </c>
      <c r="J39" s="7" t="str">
        <f t="shared" si="2"/>
        <v>In Stock</v>
      </c>
    </row>
    <row r="40" spans="1:10" ht="15.75" customHeight="1" thickBot="1" x14ac:dyDescent="0.25">
      <c r="A40" s="6" t="str">
        <f t="shared" si="0"/>
        <v>P-039</v>
      </c>
      <c r="B40" s="1" t="s">
        <v>74</v>
      </c>
      <c r="C40" s="1" t="s">
        <v>11</v>
      </c>
      <c r="D40" s="1" t="s">
        <v>19</v>
      </c>
      <c r="E40" s="1">
        <v>200</v>
      </c>
      <c r="F40" s="1">
        <v>50</v>
      </c>
      <c r="G40" s="2">
        <v>7</v>
      </c>
      <c r="H40" s="2">
        <f t="shared" si="1"/>
        <v>1400</v>
      </c>
      <c r="I40" s="4">
        <v>46191</v>
      </c>
      <c r="J40" s="7" t="str">
        <f t="shared" si="2"/>
        <v>In Stock</v>
      </c>
    </row>
    <row r="41" spans="1:10" ht="15.75" customHeight="1" thickBot="1" x14ac:dyDescent="0.25">
      <c r="A41" s="6" t="str">
        <f t="shared" si="0"/>
        <v>P-040</v>
      </c>
      <c r="B41" s="1" t="s">
        <v>75</v>
      </c>
      <c r="C41" s="1" t="s">
        <v>11</v>
      </c>
      <c r="D41" s="1" t="s">
        <v>14</v>
      </c>
      <c r="E41" s="1">
        <v>35</v>
      </c>
      <c r="F41" s="1">
        <v>20</v>
      </c>
      <c r="G41" s="2">
        <v>40</v>
      </c>
      <c r="H41" s="2">
        <f t="shared" si="1"/>
        <v>1400</v>
      </c>
      <c r="I41" s="4">
        <v>46185</v>
      </c>
      <c r="J41" s="7" t="str">
        <f t="shared" si="2"/>
        <v>In Stock</v>
      </c>
    </row>
    <row r="42" spans="1:10" ht="15.75" customHeight="1" thickBot="1" x14ac:dyDescent="0.25">
      <c r="A42" s="6" t="str">
        <f t="shared" si="0"/>
        <v>P-041</v>
      </c>
      <c r="B42" s="1" t="s">
        <v>76</v>
      </c>
      <c r="C42" s="1" t="s">
        <v>34</v>
      </c>
      <c r="D42" s="1" t="s">
        <v>61</v>
      </c>
      <c r="E42" s="1">
        <v>5</v>
      </c>
      <c r="F42" s="1">
        <v>3</v>
      </c>
      <c r="G42" s="2">
        <v>550</v>
      </c>
      <c r="H42" s="2">
        <f t="shared" si="1"/>
        <v>2750</v>
      </c>
      <c r="I42" s="4">
        <v>46137</v>
      </c>
      <c r="J42" s="7" t="str">
        <f t="shared" si="2"/>
        <v>In Stock</v>
      </c>
    </row>
    <row r="43" spans="1:10" ht="15.75" customHeight="1" thickBot="1" x14ac:dyDescent="0.25">
      <c r="A43" s="6" t="str">
        <f t="shared" si="0"/>
        <v>P-042</v>
      </c>
      <c r="B43" s="1" t="s">
        <v>77</v>
      </c>
      <c r="C43" s="1" t="s">
        <v>24</v>
      </c>
      <c r="D43" s="1" t="s">
        <v>25</v>
      </c>
      <c r="E43" s="1">
        <v>150</v>
      </c>
      <c r="F43" s="1">
        <v>50</v>
      </c>
      <c r="G43" s="2">
        <v>10</v>
      </c>
      <c r="H43" s="2">
        <f t="shared" si="1"/>
        <v>1500</v>
      </c>
      <c r="I43" s="4">
        <v>46174</v>
      </c>
      <c r="J43" s="7" t="str">
        <f t="shared" si="2"/>
        <v>In Stock</v>
      </c>
    </row>
    <row r="44" spans="1:10" ht="15.75" customHeight="1" thickBot="1" x14ac:dyDescent="0.25">
      <c r="A44" s="6" t="str">
        <f t="shared" si="0"/>
        <v>P-043</v>
      </c>
      <c r="B44" s="1" t="s">
        <v>78</v>
      </c>
      <c r="C44" s="1" t="s">
        <v>11</v>
      </c>
      <c r="D44" s="1" t="s">
        <v>12</v>
      </c>
      <c r="E44" s="1">
        <v>40</v>
      </c>
      <c r="F44" s="1">
        <v>15</v>
      </c>
      <c r="G44" s="2">
        <v>28</v>
      </c>
      <c r="H44" s="2">
        <f t="shared" si="1"/>
        <v>1120</v>
      </c>
      <c r="I44" s="4">
        <v>46157</v>
      </c>
      <c r="J44" s="7" t="str">
        <f t="shared" si="2"/>
        <v>In Stock</v>
      </c>
    </row>
    <row r="45" spans="1:10" ht="15.75" customHeight="1" thickBot="1" x14ac:dyDescent="0.25">
      <c r="A45" s="6" t="str">
        <f t="shared" si="0"/>
        <v>P-044</v>
      </c>
      <c r="B45" s="1" t="s">
        <v>79</v>
      </c>
      <c r="C45" s="1" t="s">
        <v>11</v>
      </c>
      <c r="D45" s="1" t="s">
        <v>14</v>
      </c>
      <c r="E45" s="1">
        <v>25</v>
      </c>
      <c r="F45" s="1">
        <v>10</v>
      </c>
      <c r="G45" s="2">
        <v>12</v>
      </c>
      <c r="H45" s="2">
        <f t="shared" si="1"/>
        <v>300</v>
      </c>
      <c r="I45" s="4">
        <v>46178</v>
      </c>
      <c r="J45" s="7" t="str">
        <f t="shared" si="2"/>
        <v>In Stock</v>
      </c>
    </row>
    <row r="46" spans="1:10" ht="15.75" customHeight="1" thickBot="1" x14ac:dyDescent="0.25">
      <c r="A46" s="6" t="str">
        <f t="shared" si="0"/>
        <v>P-045</v>
      </c>
      <c r="B46" s="1" t="s">
        <v>80</v>
      </c>
      <c r="C46" s="1" t="s">
        <v>21</v>
      </c>
      <c r="D46" s="1" t="s">
        <v>67</v>
      </c>
      <c r="E46" s="1">
        <v>300</v>
      </c>
      <c r="F46" s="1">
        <v>100</v>
      </c>
      <c r="G46" s="2">
        <v>6</v>
      </c>
      <c r="H46" s="2">
        <f t="shared" si="1"/>
        <v>1800</v>
      </c>
      <c r="I46" s="4">
        <v>46192</v>
      </c>
      <c r="J46" s="7" t="str">
        <f t="shared" si="2"/>
        <v>In Stock</v>
      </c>
    </row>
    <row r="47" spans="1:10" ht="15.75" customHeight="1" thickBot="1" x14ac:dyDescent="0.25">
      <c r="A47" s="6" t="str">
        <f t="shared" si="0"/>
        <v>P-046</v>
      </c>
      <c r="B47" s="1" t="s">
        <v>81</v>
      </c>
      <c r="C47" s="1" t="s">
        <v>49</v>
      </c>
      <c r="D47" s="1" t="s">
        <v>51</v>
      </c>
      <c r="E47" s="1">
        <v>80</v>
      </c>
      <c r="F47" s="1">
        <v>30</v>
      </c>
      <c r="G47" s="2">
        <v>20</v>
      </c>
      <c r="H47" s="2">
        <f t="shared" si="1"/>
        <v>1600</v>
      </c>
      <c r="I47" s="4">
        <v>46183</v>
      </c>
      <c r="J47" s="7" t="str">
        <f t="shared" si="2"/>
        <v>In Stock</v>
      </c>
    </row>
    <row r="48" spans="1:10" ht="15.75" customHeight="1" thickBot="1" x14ac:dyDescent="0.25">
      <c r="A48" s="6" t="str">
        <f t="shared" si="0"/>
        <v>P-047</v>
      </c>
      <c r="B48" s="1" t="s">
        <v>82</v>
      </c>
      <c r="C48" s="1" t="s">
        <v>24</v>
      </c>
      <c r="D48" s="1" t="s">
        <v>25</v>
      </c>
      <c r="E48" s="1">
        <v>10</v>
      </c>
      <c r="F48" s="1">
        <v>5</v>
      </c>
      <c r="G48" s="2">
        <v>160</v>
      </c>
      <c r="H48" s="2">
        <f t="shared" si="1"/>
        <v>1600</v>
      </c>
      <c r="I48" s="4">
        <v>46167</v>
      </c>
      <c r="J48" s="7" t="str">
        <f t="shared" si="2"/>
        <v>In Stock</v>
      </c>
    </row>
    <row r="49" spans="1:10" ht="15.75" customHeight="1" thickBot="1" x14ac:dyDescent="0.25">
      <c r="A49" s="6" t="str">
        <f t="shared" si="0"/>
        <v>P-048</v>
      </c>
      <c r="B49" s="1" t="s">
        <v>83</v>
      </c>
      <c r="C49" s="1" t="s">
        <v>49</v>
      </c>
      <c r="D49" s="1" t="s">
        <v>51</v>
      </c>
      <c r="E49" s="1">
        <v>95</v>
      </c>
      <c r="F49" s="1">
        <v>30</v>
      </c>
      <c r="G49" s="2">
        <v>12</v>
      </c>
      <c r="H49" s="2">
        <f t="shared" si="1"/>
        <v>1140</v>
      </c>
      <c r="I49" s="4">
        <v>46175</v>
      </c>
      <c r="J49" s="7" t="str">
        <f t="shared" si="2"/>
        <v>In Stock</v>
      </c>
    </row>
    <row r="50" spans="1:10" ht="15.75" customHeight="1" thickBot="1" x14ac:dyDescent="0.25">
      <c r="A50" s="6" t="str">
        <f t="shared" si="0"/>
        <v>P-049</v>
      </c>
      <c r="B50" s="1" t="s">
        <v>84</v>
      </c>
      <c r="C50" s="1" t="s">
        <v>11</v>
      </c>
      <c r="D50" s="1" t="s">
        <v>39</v>
      </c>
      <c r="E50" s="1">
        <v>60</v>
      </c>
      <c r="F50" s="1">
        <v>20</v>
      </c>
      <c r="G50" s="2">
        <v>18</v>
      </c>
      <c r="H50" s="2">
        <f t="shared" si="1"/>
        <v>1080</v>
      </c>
      <c r="I50" s="4">
        <v>46181</v>
      </c>
      <c r="J50" s="7" t="str">
        <f t="shared" si="2"/>
        <v>In Stock</v>
      </c>
    </row>
    <row r="51" spans="1:10" ht="15.75" customHeight="1" thickBot="1" x14ac:dyDescent="0.25">
      <c r="A51" s="6" t="str">
        <f t="shared" si="0"/>
        <v>P-050</v>
      </c>
      <c r="B51" s="13" t="s">
        <v>85</v>
      </c>
      <c r="C51" s="13" t="s">
        <v>16</v>
      </c>
      <c r="D51" s="13" t="s">
        <v>30</v>
      </c>
      <c r="E51" s="13">
        <v>15</v>
      </c>
      <c r="F51" s="13">
        <v>10</v>
      </c>
      <c r="G51" s="14">
        <v>35</v>
      </c>
      <c r="H51" s="14">
        <f t="shared" si="1"/>
        <v>525</v>
      </c>
      <c r="I51" s="15">
        <v>46187</v>
      </c>
      <c r="J51" s="16" t="str">
        <f t="shared" si="2"/>
        <v>In Stock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noufal chb</cp:lastModifiedBy>
  <dcterms:modified xsi:type="dcterms:W3CDTF">2026-07-13T20:33:54Z</dcterms:modified>
</cp:coreProperties>
</file>